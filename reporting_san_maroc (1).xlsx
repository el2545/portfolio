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KPI" sheetId="1" state="visible" r:id="rId3"/>
    <sheet name="Segmentation" sheetId="2" state="visible" r:id="rId4"/>
    <sheet name="Historique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4" authorId="0">
      <text>
        <r>
          <rPr>
            <sz val="10"/>
            <rFont val="Arial"/>
            <family val="2"/>
          </rPr>
          <t xml:space="preserve">Action escalade lancée pour 3 dossiers le 07/03. Résultats attendus S12.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Pondérations validées par la direction le 18/02/2026. Révision prévue fin Q2.</t>
        </r>
      </text>
    </comment>
    <comment ref="F13" authorId="0">
      <text>
        <r>
          <rPr>
            <sz val="10"/>
            <rFont val="Arial"/>
            <family val="2"/>
          </rPr>
          <t xml:space="preserve">Source : extraction CRM du 10/03/2026. Inclut facture contestée n°F-2024-1187 (98 400 MAD).</t>
        </r>
      </text>
    </comment>
    <comment ref="G17" authorId="0">
      <text>
        <r>
          <rPr>
            <sz val="10"/>
            <rFont val="Arial"/>
            <family val="2"/>
          </rPr>
          <t xml:space="preserve">Taux en baisse depuis S06 — dossier en cours de renégociation. Provision recommandée.</t>
        </r>
      </text>
    </comment>
    <comment ref="H17" authorId="0">
      <text>
        <r>
          <rPr>
            <sz val="10"/>
            <rFont val="Arial"/>
            <family val="2"/>
          </rPr>
          <t xml:space="preserve">DSO anormalement élevé — vérifier si arriérés S47-S50 inclus dans le calcul. À reconfirmer avec extraction SI.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Baisse ponctuelle liée au congé Aïd — reprise encaissements S06.</t>
        </r>
      </text>
    </comment>
  </commentList>
</comments>
</file>

<file path=xl/sharedStrings.xml><?xml version="1.0" encoding="utf-8"?>
<sst xmlns="http://schemas.openxmlformats.org/spreadsheetml/2006/main" count="95" uniqueCount="94">
  <si>
    <t xml:space="preserve">SAN MAROC — Dashboard de Pilotage Financier</t>
  </si>
  <si>
    <t xml:space="preserve">Semaine du 10/03/2026 au 16/03/2026</t>
  </si>
  <si>
    <t xml:space="preserve">Automatisé — VBA / PowerQuery</t>
  </si>
  <si>
    <t xml:space="preserve">Pôle Analyse Financière &amp; Performance | El Ghali Sany</t>
  </si>
  <si>
    <t xml:space="preserve">ENCOURS TOTAL</t>
  </si>
  <si>
    <t xml:space="preserve">IMPAYÉS &gt; 30 JOURS</t>
  </si>
  <si>
    <t xml:space="preserve">DSO MOYEN PORTEFEUILLE</t>
  </si>
  <si>
    <t xml:space="preserve">CEI (COLLECTION EFFECTIVENESS)</t>
  </si>
  <si>
    <t xml:space="preserve">TAUX RECOUVREMENT MOYEN</t>
  </si>
  <si>
    <t xml:space="preserve">+3.2% vs S-1</t>
  </si>
  <si>
    <t xml:space="preserve">+2.1 pts vs S-1</t>
  </si>
  <si>
    <t xml:space="preserve">Répartition des Créances par Ancienneté (Aging Analysis)</t>
  </si>
  <si>
    <t xml:space="preserve">Tranche</t>
  </si>
  <si>
    <t xml:space="preserve">Montant (MAD)</t>
  </si>
  <si>
    <t xml:space="preserve">% du Total</t>
  </si>
  <si>
    <t xml:space="preserve">Nb Clients</t>
  </si>
  <si>
    <t xml:space="preserve">Action Recommandée</t>
  </si>
  <si>
    <t xml:space="preserve">0 – 30 jours (Courant)</t>
  </si>
  <si>
    <t xml:space="preserve">Suivi standard</t>
  </si>
  <si>
    <t xml:space="preserve">30 – 60 jours</t>
  </si>
  <si>
    <t xml:space="preserve">Relance amiable prioritaire</t>
  </si>
  <si>
    <t xml:space="preserve">60 – 90 jours</t>
  </si>
  <si>
    <t xml:space="preserve">Escalade + mise en demeure</t>
  </si>
  <si>
    <t xml:space="preserve">&gt; 90 jours (Critique)</t>
  </si>
  <si>
    <t xml:space="preserve">Négociation directe / Provision</t>
  </si>
  <si>
    <t xml:space="preserve">TOTAL</t>
  </si>
  <si>
    <t xml:space="preserve">100%</t>
  </si>
  <si>
    <t xml:space="preserve">10</t>
  </si>
  <si>
    <t xml:space="preserve">⚠ Données fictives — noms de clients et montants simulés à des fins de démonstration. Aucune donnée réelle utilisée.</t>
  </si>
  <si>
    <t xml:space="preserve">Segmentation Analytique des Portefeuilles Clients</t>
  </si>
  <si>
    <t xml:space="preserve">Segmentation par ancienneté de créance, scoring interne et priorité de recouvrement</t>
  </si>
  <si>
    <t xml:space="preserve">Méthode de Scoring : Score = (Poids_ancienneté × Note_ancienneté) + (Poids_montant × Note_montant) + (Poids_historique × Note_historique)   |   Pondérations : Ancienneté 40%, Montant 30%, Historique 30%</t>
  </si>
  <si>
    <t xml:space="preserve">HYPOTHÈSES DE SCORING</t>
  </si>
  <si>
    <t xml:space="preserve">LÉGENDE COULEUR</t>
  </si>
  <si>
    <t xml:space="preserve">Poids Ancienneté</t>
  </si>
  <si>
    <t xml:space="preserve">Bleu = Hypothèse modifiable</t>
  </si>
  <si>
    <t xml:space="preserve">Poids Montant</t>
  </si>
  <si>
    <t xml:space="preserve">Noir = Formule calculée</t>
  </si>
  <si>
    <t xml:space="preserve">Poids Historique</t>
  </si>
  <si>
    <t xml:space="preserve">Jaune = Cellule à attention</t>
  </si>
  <si>
    <t xml:space="preserve">Client</t>
  </si>
  <si>
    <t xml:space="preserve">0-30j (MAD)</t>
  </si>
  <si>
    <t xml:space="preserve">30-60j (MAD)</t>
  </si>
  <si>
    <t xml:space="preserve">60-90j (MAD)</t>
  </si>
  <si>
    <t xml:space="preserve">&gt;90j (MAD)</t>
  </si>
  <si>
    <t xml:space="preserve">Taux Récup.</t>
  </si>
  <si>
    <t xml:space="preserve">DSO (jours)</t>
  </si>
  <si>
    <t xml:space="preserve">Hist. Paiement</t>
  </si>
  <si>
    <t xml:space="preserve">Score Interne (/10)</t>
  </si>
  <si>
    <t xml:space="preserve">Priorité</t>
  </si>
  <si>
    <t xml:space="preserve">Encours Total</t>
  </si>
  <si>
    <t xml:space="preserve">Ste Benomar Import-Export</t>
  </si>
  <si>
    <t xml:space="preserve">Maroc Industrie SA</t>
  </si>
  <si>
    <t xml:space="preserve">Transmar SARL</t>
  </si>
  <si>
    <t xml:space="preserve">BMCE Partenaires</t>
  </si>
  <si>
    <t xml:space="preserve">Tanger Med Services</t>
  </si>
  <si>
    <t xml:space="preserve">Sté Lamrani &amp; Fils</t>
  </si>
  <si>
    <t xml:space="preserve">Ets Kettani Fret</t>
  </si>
  <si>
    <t xml:space="preserve">Souss Agrégats</t>
  </si>
  <si>
    <t xml:space="preserve">Fès Textile Export</t>
  </si>
  <si>
    <t xml:space="preserve">Société Idrissi &amp; Cie</t>
  </si>
  <si>
    <t xml:space="preserve">TOTAL / MOYENNE</t>
  </si>
  <si>
    <t xml:space="preserve">⚠ DONNÉES FICTIVES — Les noms, montants et indicateurs ci-dessus sont simulés à des fins de démonstration.</t>
  </si>
  <si>
    <t xml:space="preserve">Aucune donnée réelle de client ou de SAN MAROC n'a été utilisée. Obligation de confidentialité respectée.</t>
  </si>
  <si>
    <t xml:space="preserve">Historique des Encaissements &amp; Indicateur CEI</t>
  </si>
  <si>
    <t xml:space="preserve">CEI = Collection Effectiveness Index = Encaissements / (Encours début + Crédits période − Encours fin)</t>
  </si>
  <si>
    <t xml:space="preserve">Semaine</t>
  </si>
  <si>
    <t xml:space="preserve">Encaissements (MAD)</t>
  </si>
  <si>
    <t xml:space="preserve">Objectif (MAD)</t>
  </si>
  <si>
    <t xml:space="preserve">Écart</t>
  </si>
  <si>
    <t xml:space="preserve">Taux Atteinte</t>
  </si>
  <si>
    <t xml:space="preserve">Cumul Encaissements</t>
  </si>
  <si>
    <t xml:space="preserve">CEI Hebdo</t>
  </si>
  <si>
    <t xml:space="preserve">S01 — 06/01</t>
  </si>
  <si>
    <t xml:space="preserve">S02 — 13/01</t>
  </si>
  <si>
    <t xml:space="preserve">S03 — 20/01</t>
  </si>
  <si>
    <t xml:space="preserve">S04 — 27/01</t>
  </si>
  <si>
    <t xml:space="preserve">S05 — 03/02</t>
  </si>
  <si>
    <t xml:space="preserve">S06 — 10/02</t>
  </si>
  <si>
    <t xml:space="preserve">S07 — 17/02</t>
  </si>
  <si>
    <t xml:space="preserve">S08 — 24/02</t>
  </si>
  <si>
    <t xml:space="preserve">S09 — 03/03</t>
  </si>
  <si>
    <t xml:space="preserve">S10 — 10/03</t>
  </si>
  <si>
    <t xml:space="preserve">S11 — 17/03</t>
  </si>
  <si>
    <t xml:space="preserve">⚠ Données fictives — montants simulés à des fins de démonstration.</t>
  </si>
  <si>
    <t xml:space="preserve">notes perso - reporting</t>
  </si>
  <si>
    <t xml:space="preserve">scoring : ancienneté 40%, montant 30%, historique 30% → validé 18/02 avec direction</t>
  </si>
  <si>
    <t xml:space="preserve">seuils alertes : &lt;10% ok, 10-20% surveillance, &gt;20% alerte</t>
  </si>
  <si>
    <t xml:space="preserve">DSO = jours moyen pour encaisser. CEI = encaissements / créances totales</t>
  </si>
  <si>
    <t xml:space="preserve">données entrées en bleu, formules en noir, cellules jaunes = à vérifier</t>
  </si>
  <si>
    <t xml:space="preserve">TODO :</t>
  </si>
  <si>
    <t xml:space="preserve">- revoir pondérations fin Q2</t>
  </si>
  <si>
    <t xml:space="preserve">- automatiser import PowerQuery quand accès SI confirmé</t>
  </si>
  <si>
    <t xml:space="preserve">- ajouter colonne secteur d'activité dans segmentation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</si>
</sst>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&quot; MAD&quot;"/>
    <numFmt numFmtId="166" formatCode="0&quot; jours&quot;"/>
    <numFmt numFmtId="167" formatCode="0.0%"/>
    <numFmt numFmtId="168" formatCode="#,##0"/>
    <numFmt numFmtId="169" formatCode="0%"/>
    <numFmt numFmtId="170" formatCode="0"/>
    <numFmt numFmtId="171" formatCode="0.0"/>
    <numFmt numFmtId="172" formatCode="#,##0;\(#,##0\);\-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B8520E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7.5"/>
      <color rgb="FF6B7280"/>
      <name val="Arial"/>
      <family val="0"/>
      <charset val="1"/>
    </font>
    <font>
      <b val="true"/>
      <sz val="13"/>
      <color rgb="FF0B1D3A"/>
      <name val="Arial"/>
      <family val="0"/>
      <charset val="1"/>
    </font>
    <font>
      <b val="true"/>
      <sz val="10"/>
      <color rgb="FF14532D"/>
      <name val="Arial"/>
      <family val="0"/>
      <charset val="1"/>
    </font>
    <font>
      <b val="true"/>
      <sz val="14"/>
      <color rgb="FF0B1D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b val="true"/>
      <sz val="10"/>
      <color rgb="FF713F12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8"/>
      <color rgb="FF991B1B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1"/>
      <color rgb="FF0B1D3A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991B1B"/>
      <name val="Arial"/>
      <family val="0"/>
      <charset val="1"/>
    </font>
    <font>
      <i val="true"/>
      <sz val="9"/>
      <color rgb="FF991B1B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B1D3A"/>
        <bgColor rgb="FF132C56"/>
      </patternFill>
    </fill>
    <fill>
      <patternFill patternType="solid">
        <fgColor rgb="FFF7F8FA"/>
        <bgColor rgb="FFF9F9F9"/>
      </patternFill>
    </fill>
    <fill>
      <patternFill patternType="solid">
        <fgColor rgb="FFDCFCE7"/>
        <bgColor rgb="FFDBEAFE"/>
      </patternFill>
    </fill>
    <fill>
      <patternFill patternType="solid">
        <fgColor rgb="FFFFFFFF"/>
        <bgColor rgb="FFF9F9F9"/>
      </patternFill>
    </fill>
    <fill>
      <patternFill patternType="solid">
        <fgColor rgb="FFDBEAFE"/>
        <bgColor rgb="FFDCFCE7"/>
      </patternFill>
    </fill>
    <fill>
      <patternFill patternType="solid">
        <fgColor rgb="FFFEF9C3"/>
        <bgColor rgb="FFF9F9F9"/>
      </patternFill>
    </fill>
    <fill>
      <patternFill patternType="solid">
        <fgColor rgb="FFFEE2E2"/>
        <bgColor rgb="FFF7F8F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8520E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7F8FA"/>
      <rgbColor rgb="FFF9F9F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32C56"/>
      <rgbColor rgb="FF339966"/>
      <rgbColor rgb="FF0B1D3A"/>
      <rgbColor rgb="FF713F12"/>
      <rgbColor rgb="FF991B1B"/>
      <rgbColor rgb="FF993366"/>
      <rgbColor rgb="FF1E3A8A"/>
      <rgbColor rgb="FF1453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Créances par Tranche d'Ancienneté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'Dashboard KPI'!C10</c:f>
              <c:strCache>
                <c:ptCount val="1"/>
                <c:pt idx="0">
                  <c:v>Montant (MAD)</c:v>
                </c:pt>
              </c:strCache>
            </c:strRef>
          </c:tx>
          <c:spPr>
            <a:solidFill>
              <a:srgbClr val="0b1d3a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3"/>
            <c:invertIfNegative val="0"/>
            <c:spPr>
              <a:solidFill>
                <a:srgbClr val="b8520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KPI'!$B$11:$B$14</c:f>
              <c:strCache>
                <c:ptCount val="4"/>
                <c:pt idx="0">
                  <c:v>0 – 30 jours (Courant)</c:v>
                </c:pt>
                <c:pt idx="1">
                  <c:v>30 – 60 jours</c:v>
                </c:pt>
                <c:pt idx="2">
                  <c:v>60 – 90 jours</c:v>
                </c:pt>
                <c:pt idx="3">
                  <c:v>&gt; 90 jours (Critique)</c:v>
                </c:pt>
              </c:strCache>
            </c:strRef>
          </c:cat>
          <c:val>
            <c:numRef>
              <c:f>'Dashboard KPI'!$C$11:$C$14</c:f>
              <c:numCache>
                <c:formatCode>#,##0</c:formatCode>
                <c:ptCount val="4"/>
                <c:pt idx="0">
                  <c:v>7323400</c:v>
                </c:pt>
                <c:pt idx="1">
                  <c:v>2545000</c:v>
                </c:pt>
                <c:pt idx="2">
                  <c:v>921800</c:v>
                </c:pt>
                <c:pt idx="3">
                  <c:v>1654800</c:v>
                </c:pt>
              </c:numCache>
            </c:numRef>
          </c:val>
        </c:ser>
        <c:gapWidth val="150"/>
        <c:overlap val="0"/>
        <c:axId val="62412154"/>
        <c:axId val="94685491"/>
      </c:barChart>
      <c:catAx>
        <c:axId val="624121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85491"/>
        <c:crosses val="autoZero"/>
        <c:auto val="1"/>
        <c:lblAlgn val="ctr"/>
        <c:lblOffset val="100"/>
        <c:noMultiLvlLbl val="0"/>
      </c:catAx>
      <c:valAx>
        <c:axId val="946854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121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Encaissements vs Objectif — Tendance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Historique!C4</c:f>
              <c:strCache>
                <c:ptCount val="1"/>
                <c:pt idx="0">
                  <c:v>Encaissements (MAD)</c:v>
                </c:pt>
              </c:strCache>
            </c:strRef>
          </c:tx>
          <c:spPr>
            <a:solidFill>
              <a:srgbClr val="0b1d3a"/>
            </a:solidFill>
            <a:ln w="28080">
              <a:solidFill>
                <a:srgbClr val="0b1d3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Historique!$B$5:$B$15</c:f>
              <c:strCache>
                <c:ptCount val="11"/>
                <c:pt idx="0">
                  <c:v>S01 — 06/01</c:v>
                </c:pt>
                <c:pt idx="1">
                  <c:v>S02 — 13/01</c:v>
                </c:pt>
                <c:pt idx="2">
                  <c:v>S03 — 20/01</c:v>
                </c:pt>
                <c:pt idx="3">
                  <c:v>S04 — 27/01</c:v>
                </c:pt>
                <c:pt idx="4">
                  <c:v>S05 — 03/02</c:v>
                </c:pt>
                <c:pt idx="5">
                  <c:v>S06 — 10/02</c:v>
                </c:pt>
                <c:pt idx="6">
                  <c:v>S07 — 17/02</c:v>
                </c:pt>
                <c:pt idx="7">
                  <c:v>S08 — 24/02</c:v>
                </c:pt>
                <c:pt idx="8">
                  <c:v>S09 — 03/03</c:v>
                </c:pt>
                <c:pt idx="9">
                  <c:v>S10 — 10/03</c:v>
                </c:pt>
                <c:pt idx="10">
                  <c:v>S11 — 17/03</c:v>
                </c:pt>
              </c:strCache>
            </c:strRef>
          </c:cat>
          <c:val>
            <c:numRef>
              <c:f>Historique!$C$5:$C$15</c:f>
              <c:numCache>
                <c:formatCode>#,##0</c:formatCode>
                <c:ptCount val="11"/>
                <c:pt idx="0">
                  <c:v>2800000</c:v>
                </c:pt>
                <c:pt idx="1">
                  <c:v>3100000</c:v>
                </c:pt>
                <c:pt idx="2">
                  <c:v>2950000</c:v>
                </c:pt>
                <c:pt idx="3">
                  <c:v>3200000</c:v>
                </c:pt>
                <c:pt idx="4">
                  <c:v>2700000</c:v>
                </c:pt>
                <c:pt idx="5">
                  <c:v>3400000</c:v>
                </c:pt>
                <c:pt idx="6">
                  <c:v>3050000</c:v>
                </c:pt>
                <c:pt idx="7">
                  <c:v>2900000</c:v>
                </c:pt>
                <c:pt idx="8">
                  <c:v>3350000</c:v>
                </c:pt>
                <c:pt idx="9">
                  <c:v>3150000</c:v>
                </c:pt>
                <c:pt idx="10">
                  <c:v>3500000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Historique!D4</c:f>
              <c:strCache>
                <c:ptCount val="1"/>
                <c:pt idx="0">
                  <c:v>Objectif (MAD)</c:v>
                </c:pt>
              </c:strCache>
            </c:strRef>
          </c:tx>
          <c:spPr>
            <a:solidFill>
              <a:srgbClr val="b8520e"/>
            </a:solidFill>
            <a:ln w="28080">
              <a:solidFill>
                <a:srgbClr val="b8520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Historique!$B$5:$B$15</c:f>
              <c:strCache>
                <c:ptCount val="11"/>
                <c:pt idx="0">
                  <c:v>S01 — 06/01</c:v>
                </c:pt>
                <c:pt idx="1">
                  <c:v>S02 — 13/01</c:v>
                </c:pt>
                <c:pt idx="2">
                  <c:v>S03 — 20/01</c:v>
                </c:pt>
                <c:pt idx="3">
                  <c:v>S04 — 27/01</c:v>
                </c:pt>
                <c:pt idx="4">
                  <c:v>S05 — 03/02</c:v>
                </c:pt>
                <c:pt idx="5">
                  <c:v>S06 — 10/02</c:v>
                </c:pt>
                <c:pt idx="6">
                  <c:v>S07 — 17/02</c:v>
                </c:pt>
                <c:pt idx="7">
                  <c:v>S08 — 24/02</c:v>
                </c:pt>
                <c:pt idx="8">
                  <c:v>S09 — 03/03</c:v>
                </c:pt>
                <c:pt idx="9">
                  <c:v>S10 — 10/03</c:v>
                </c:pt>
                <c:pt idx="10">
                  <c:v>S11 — 17/03</c:v>
                </c:pt>
              </c:strCache>
            </c:strRef>
          </c:cat>
          <c:val>
            <c:numRef>
              <c:f>Historique!$D$5:$D$15</c:f>
              <c:numCache>
                <c:formatCode>#,##0</c:formatCode>
                <c:ptCount val="11"/>
                <c:pt idx="0">
                  <c:v>3000000</c:v>
                </c:pt>
                <c:pt idx="1">
                  <c:v>3000000</c:v>
                </c:pt>
                <c:pt idx="2">
                  <c:v>3000000</c:v>
                </c:pt>
                <c:pt idx="3">
                  <c:v>3100000</c:v>
                </c:pt>
                <c:pt idx="4">
                  <c:v>3100000</c:v>
                </c:pt>
                <c:pt idx="5">
                  <c:v>3100000</c:v>
                </c:pt>
                <c:pt idx="6">
                  <c:v>3200000</c:v>
                </c:pt>
                <c:pt idx="7">
                  <c:v>3200000</c:v>
                </c:pt>
                <c:pt idx="8">
                  <c:v>3200000</c:v>
                </c:pt>
                <c:pt idx="9">
                  <c:v>3300000</c:v>
                </c:pt>
                <c:pt idx="10">
                  <c:v>3300000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369760"/>
        <c:axId val="894392"/>
      </c:lineChart>
      <c:catAx>
        <c:axId val="59369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392"/>
        <c:crosses val="autoZero"/>
        <c:auto val="1"/>
        <c:lblAlgn val="ctr"/>
        <c:lblOffset val="100"/>
        <c:noMultiLvlLbl val="0"/>
      </c:catAx>
      <c:valAx>
        <c:axId val="8943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697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8</xdr:row>
      <xdr:rowOff>116280</xdr:rowOff>
    </xdr:from>
    <xdr:to>
      <xdr:col>17</xdr:col>
      <xdr:colOff>427680</xdr:colOff>
      <xdr:row>30</xdr:row>
      <xdr:rowOff>100800</xdr:rowOff>
    </xdr:to>
    <xdr:graphicFrame>
      <xdr:nvGraphicFramePr>
        <xdr:cNvPr id="0" name="Chart 1"/>
        <xdr:cNvGraphicFramePr/>
      </xdr:nvGraphicFramePr>
      <xdr:xfrm>
        <a:off x="7189560" y="1526040"/>
        <a:ext cx="7197840" cy="430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48240</xdr:rowOff>
    </xdr:from>
    <xdr:to>
      <xdr:col>11</xdr:col>
      <xdr:colOff>537840</xdr:colOff>
      <xdr:row>42</xdr:row>
      <xdr:rowOff>133200</xdr:rowOff>
    </xdr:to>
    <xdr:graphicFrame>
      <xdr:nvGraphicFramePr>
        <xdr:cNvPr id="1" name="Chart 1"/>
        <xdr:cNvGraphicFramePr/>
      </xdr:nvGraphicFramePr>
      <xdr:xfrm>
        <a:off x="141120" y="3229560"/>
        <a:ext cx="10077840" cy="50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D3A"/>
    <pageSetUpPr fitToPage="false"/>
  </sheetPr>
  <dimension ref="A1:K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10" min="4" style="1" width="14"/>
    <col collapsed="false" customWidth="true" hidden="false" outlineLevel="0" max="11" min="11" style="1" width="2"/>
  </cols>
  <sheetData>
    <row r="1" customFormat="false" ht="19.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2"/>
    </row>
    <row r="2" customFormat="false" ht="15" hidden="false" customHeight="true" outlineLevel="0" collapsed="false">
      <c r="A2" s="2"/>
      <c r="B2" s="4" t="s">
        <v>1</v>
      </c>
      <c r="C2" s="4"/>
      <c r="D2" s="4"/>
      <c r="E2" s="4"/>
      <c r="F2" s="2"/>
      <c r="G2" s="5" t="s">
        <v>2</v>
      </c>
      <c r="H2" s="5"/>
      <c r="I2" s="5"/>
      <c r="J2" s="5"/>
      <c r="K2" s="2"/>
    </row>
    <row r="3" customFormat="false" ht="15" hidden="false" customHeight="true" outlineLevel="0" collapsed="false">
      <c r="A3" s="2"/>
      <c r="B3" s="6" t="s">
        <v>3</v>
      </c>
      <c r="C3" s="6"/>
      <c r="D3" s="6"/>
      <c r="E3" s="6"/>
      <c r="F3" s="6"/>
      <c r="G3" s="6"/>
      <c r="H3" s="6"/>
      <c r="I3" s="6"/>
      <c r="J3" s="6"/>
      <c r="K3" s="2"/>
    </row>
    <row r="4" customFormat="false" ht="6" hidden="false" customHeight="true" outlineLevel="0" collapsed="false"/>
    <row r="5" customFormat="false" ht="15" hidden="false" customHeight="true" outlineLevel="0" collapsed="false">
      <c r="B5" s="7" t="s">
        <v>4</v>
      </c>
      <c r="D5" s="7" t="s">
        <v>5</v>
      </c>
      <c r="F5" s="7" t="s">
        <v>6</v>
      </c>
      <c r="H5" s="7" t="s">
        <v>7</v>
      </c>
      <c r="J5" s="7" t="s">
        <v>8</v>
      </c>
    </row>
    <row r="6" customFormat="false" ht="15.75" hidden="false" customHeight="true" outlineLevel="0" collapsed="false">
      <c r="B6" s="8" t="n">
        <f aca="false">Segmentation!L22</f>
        <v>12445000</v>
      </c>
      <c r="D6" s="8" t="n">
        <f aca="false">SUM(Segmentation!D22,Segmentation!E22,Segmentation!F22)</f>
        <v>5121600</v>
      </c>
      <c r="F6" s="9" t="n">
        <f aca="false">AVERAGE(Segmentation!H12:H21)</f>
        <v>53.8</v>
      </c>
      <c r="H6" s="10" t="n">
        <f aca="false">Historique!C15/Segmentation!L22</f>
        <v>0.281237444756931</v>
      </c>
      <c r="J6" s="10" t="n">
        <f aca="false">AVERAGE(Segmentation!G12:G21)</f>
        <v>0.769</v>
      </c>
    </row>
    <row r="7" customFormat="false" ht="15" hidden="false" customHeight="true" outlineLevel="0" collapsed="false">
      <c r="A7" s="11"/>
      <c r="B7" s="12" t="s">
        <v>9</v>
      </c>
      <c r="C7" s="11"/>
      <c r="D7" s="11"/>
      <c r="E7" s="11"/>
      <c r="F7" s="11"/>
      <c r="G7" s="11"/>
      <c r="H7" s="11"/>
      <c r="I7" s="11"/>
      <c r="J7" s="12" t="s">
        <v>10</v>
      </c>
      <c r="K7" s="11"/>
    </row>
    <row r="8" customFormat="false" ht="9.75" hidden="false" customHeight="true" outlineLevel="0" collapsed="false"/>
    <row r="9" customFormat="false" ht="17.25" hidden="false" customHeight="true" outlineLevel="0" collapsed="false">
      <c r="B9" s="13" t="s">
        <v>11</v>
      </c>
      <c r="C9" s="13"/>
      <c r="D9" s="13"/>
      <c r="E9" s="13"/>
      <c r="F9" s="13"/>
      <c r="G9" s="13"/>
      <c r="H9" s="13"/>
      <c r="I9" s="13"/>
      <c r="J9" s="13"/>
    </row>
    <row r="10" customFormat="false" ht="23.25" hidden="false" customHeight="true" outlineLevel="0" collapsed="false">
      <c r="B10" s="14" t="s">
        <v>12</v>
      </c>
      <c r="C10" s="14" t="s">
        <v>13</v>
      </c>
      <c r="D10" s="14" t="s">
        <v>14</v>
      </c>
      <c r="E10" s="14" t="s">
        <v>15</v>
      </c>
      <c r="F10" s="14" t="s">
        <v>16</v>
      </c>
    </row>
    <row r="11" customFormat="false" ht="15" hidden="false" customHeight="true" outlineLevel="0" collapsed="false">
      <c r="B11" s="15" t="s">
        <v>17</v>
      </c>
      <c r="C11" s="16" t="n">
        <f aca="false">Segmentation!C22</f>
        <v>7323400</v>
      </c>
      <c r="D11" s="17" t="n">
        <f aca="false">C11/C15</f>
        <v>0.588461229409401</v>
      </c>
      <c r="E11" s="18" t="n">
        <v>10</v>
      </c>
      <c r="F11" s="19" t="s">
        <v>18</v>
      </c>
    </row>
    <row r="12" customFormat="false" ht="15" hidden="false" customHeight="true" outlineLevel="0" collapsed="false">
      <c r="B12" s="20" t="s">
        <v>19</v>
      </c>
      <c r="C12" s="21" t="n">
        <f aca="false">Segmentation!D22</f>
        <v>2545000</v>
      </c>
      <c r="D12" s="22" t="n">
        <f aca="false">C12/C15</f>
        <v>0.204499799116111</v>
      </c>
      <c r="E12" s="23" t="n">
        <v>7</v>
      </c>
      <c r="F12" s="24" t="s">
        <v>20</v>
      </c>
    </row>
    <row r="13" customFormat="false" ht="15" hidden="false" customHeight="true" outlineLevel="0" collapsed="false">
      <c r="B13" s="15" t="s">
        <v>21</v>
      </c>
      <c r="C13" s="16" t="n">
        <f aca="false">Segmentation!E22</f>
        <v>921800</v>
      </c>
      <c r="D13" s="17" t="n">
        <f aca="false">C13/C15</f>
        <v>0.074069907593411</v>
      </c>
      <c r="E13" s="18" t="n">
        <v>5</v>
      </c>
      <c r="F13" s="25" t="s">
        <v>22</v>
      </c>
    </row>
    <row r="14" customFormat="false" ht="15" hidden="false" customHeight="true" outlineLevel="0" collapsed="false">
      <c r="B14" s="20" t="s">
        <v>23</v>
      </c>
      <c r="C14" s="21" t="n">
        <f aca="false">Segmentation!F22</f>
        <v>1654800</v>
      </c>
      <c r="D14" s="22" t="n">
        <f aca="false">C14/C15</f>
        <v>0.132969063881077</v>
      </c>
      <c r="E14" s="23" t="n">
        <v>4</v>
      </c>
      <c r="F14" s="26" t="s">
        <v>24</v>
      </c>
    </row>
    <row r="15" customFormat="false" ht="15" hidden="false" customHeight="true" outlineLevel="0" collapsed="false">
      <c r="B15" s="27" t="s">
        <v>25</v>
      </c>
      <c r="C15" s="28" t="n">
        <f aca="false">SUM(C11:C14)</f>
        <v>12445000</v>
      </c>
      <c r="D15" s="29" t="s">
        <v>26</v>
      </c>
      <c r="E15" s="29" t="s">
        <v>27</v>
      </c>
      <c r="F15" s="30"/>
    </row>
    <row r="38" customFormat="false" ht="15" hidden="false" customHeight="false" outlineLevel="0" collapsed="false">
      <c r="B38" s="31" t="s">
        <v>28</v>
      </c>
      <c r="C38" s="31"/>
      <c r="D38" s="31"/>
      <c r="E38" s="31"/>
      <c r="F38" s="31"/>
      <c r="G38" s="31"/>
      <c r="H38" s="31"/>
    </row>
  </sheetData>
  <mergeCells count="6">
    <mergeCell ref="B1:J1"/>
    <mergeCell ref="B2:E2"/>
    <mergeCell ref="G2:J2"/>
    <mergeCell ref="B3:J3"/>
    <mergeCell ref="B9:J9"/>
    <mergeCell ref="B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C56"/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5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2" min="11" style="1" width="15"/>
    <col collapsed="false" customWidth="true" hidden="false" outlineLevel="0" max="13" min="13" style="1" width="2"/>
  </cols>
  <sheetData>
    <row r="1" customFormat="false" ht="17.25" hidden="false" customHeight="true" outlineLevel="0" collapsed="false">
      <c r="A1" s="2"/>
      <c r="B1" s="32" t="s">
        <v>29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2"/>
    </row>
    <row r="2" customFormat="false" ht="15" hidden="false" customHeight="true" outlineLevel="0" collapsed="false">
      <c r="B2" s="33" t="s">
        <v>30</v>
      </c>
      <c r="C2" s="33"/>
      <c r="D2" s="33"/>
      <c r="E2" s="33"/>
      <c r="F2" s="33"/>
      <c r="G2" s="33"/>
      <c r="H2" s="33"/>
      <c r="I2" s="33"/>
      <c r="J2" s="33"/>
      <c r="K2" s="33"/>
      <c r="L2" s="33"/>
    </row>
    <row r="4" customFormat="false" ht="15" hidden="false" customHeight="true" outlineLevel="0" collapsed="false">
      <c r="B4" s="34" t="s">
        <v>31</v>
      </c>
      <c r="C4" s="34"/>
      <c r="D4" s="34"/>
      <c r="E4" s="34"/>
      <c r="F4" s="34"/>
      <c r="G4" s="34"/>
      <c r="H4" s="34"/>
      <c r="I4" s="34"/>
      <c r="J4" s="34"/>
      <c r="K4" s="34"/>
      <c r="L4" s="34"/>
    </row>
    <row r="6" customFormat="false" ht="15" hidden="false" customHeight="true" outlineLevel="0" collapsed="false">
      <c r="B6" s="35" t="s">
        <v>32</v>
      </c>
      <c r="C6" s="35"/>
      <c r="E6" s="36" t="s">
        <v>33</v>
      </c>
    </row>
    <row r="7" customFormat="false" ht="15" hidden="false" customHeight="true" outlineLevel="0" collapsed="false">
      <c r="B7" s="37" t="s">
        <v>34</v>
      </c>
      <c r="C7" s="38" t="n">
        <v>0.4</v>
      </c>
      <c r="E7" s="39" t="s">
        <v>35</v>
      </c>
    </row>
    <row r="8" customFormat="false" ht="15" hidden="false" customHeight="true" outlineLevel="0" collapsed="false">
      <c r="B8" s="37" t="s">
        <v>36</v>
      </c>
      <c r="C8" s="38" t="n">
        <v>0.3</v>
      </c>
      <c r="E8" s="40" t="s">
        <v>37</v>
      </c>
    </row>
    <row r="9" customFormat="false" ht="15" hidden="false" customHeight="true" outlineLevel="0" collapsed="false">
      <c r="B9" s="37" t="s">
        <v>38</v>
      </c>
      <c r="C9" s="38" t="n">
        <v>0.3</v>
      </c>
      <c r="E9" s="41" t="s">
        <v>39</v>
      </c>
    </row>
    <row r="11" customFormat="false" ht="31.5" hidden="false" customHeight="true" outlineLevel="0" collapsed="false">
      <c r="B11" s="14" t="s">
        <v>40</v>
      </c>
      <c r="C11" s="14" t="s">
        <v>41</v>
      </c>
      <c r="D11" s="14" t="s">
        <v>42</v>
      </c>
      <c r="E11" s="14" t="s">
        <v>43</v>
      </c>
      <c r="F11" s="14" t="s">
        <v>44</v>
      </c>
      <c r="G11" s="14" t="s">
        <v>45</v>
      </c>
      <c r="H11" s="14" t="s">
        <v>46</v>
      </c>
      <c r="I11" s="14" t="s">
        <v>47</v>
      </c>
      <c r="J11" s="14" t="s">
        <v>48</v>
      </c>
      <c r="K11" s="14" t="s">
        <v>49</v>
      </c>
      <c r="L11" s="14" t="s">
        <v>50</v>
      </c>
    </row>
    <row r="12" customFormat="false" ht="15" hidden="false" customHeight="true" outlineLevel="0" collapsed="false">
      <c r="B12" s="15" t="s">
        <v>51</v>
      </c>
      <c r="C12" s="42" t="n">
        <v>1637500</v>
      </c>
      <c r="D12" s="42" t="n">
        <v>418200</v>
      </c>
      <c r="E12" s="42" t="n">
        <v>196800</v>
      </c>
      <c r="F12" s="42" t="n">
        <v>184500</v>
      </c>
      <c r="G12" s="43" t="n">
        <v>0.84</v>
      </c>
      <c r="H12" s="44" t="n">
        <v>43</v>
      </c>
      <c r="I12" s="43" t="n">
        <v>0.84</v>
      </c>
      <c r="J12" s="45" t="n">
        <f aca="false">$C$7*((C12/L12)*10)+$C$8*((1-L12/MAX($L$12:$L$21))*10)+$C$9*(I12*10)</f>
        <v>5.20773081657776</v>
      </c>
      <c r="K12" s="46" t="str">
        <f aca="false">IF(J12&gt;=7,"Faible",IF(J12&gt;=5,"Moyenne",IF(J12&gt;=3,"Haute","Critique")))</f>
        <v>Moyenne</v>
      </c>
      <c r="L12" s="47" t="n">
        <f aca="false">SUM(C12:F12)</f>
        <v>2437000</v>
      </c>
    </row>
    <row r="13" customFormat="false" ht="15" hidden="false" customHeight="true" outlineLevel="0" collapsed="false">
      <c r="B13" s="20" t="s">
        <v>52</v>
      </c>
      <c r="C13" s="48" t="n">
        <v>743800</v>
      </c>
      <c r="D13" s="48" t="n">
        <v>507200</v>
      </c>
      <c r="E13" s="48" t="n">
        <v>198600</v>
      </c>
      <c r="F13" s="48" t="n">
        <v>423400</v>
      </c>
      <c r="G13" s="49" t="n">
        <v>0.63</v>
      </c>
      <c r="H13" s="50" t="n">
        <v>76</v>
      </c>
      <c r="I13" s="49" t="n">
        <v>0.63</v>
      </c>
      <c r="J13" s="51" t="n">
        <f aca="false">$C$7*((C13/L13)*10)+$C$8*((1-L13/MAX($L$12:$L$21))*10)+$C$9*(I13*10)</f>
        <v>4.1727639647795</v>
      </c>
      <c r="K13" s="52" t="str">
        <f aca="false">IF(J13&gt;=7,"Faible",IF(J13&gt;=5,"Moyenne",IF(J13&gt;=3,"Haute","Critique")))</f>
        <v>Haute</v>
      </c>
      <c r="L13" s="53" t="n">
        <f aca="false">SUM(C13:F13)</f>
        <v>1873000</v>
      </c>
    </row>
    <row r="14" customFormat="false" ht="15" hidden="false" customHeight="true" outlineLevel="0" collapsed="false">
      <c r="B14" s="15" t="s">
        <v>53</v>
      </c>
      <c r="C14" s="42" t="n">
        <v>1192300</v>
      </c>
      <c r="D14" s="42" t="n">
        <v>304700</v>
      </c>
      <c r="E14" s="42" t="n">
        <v>57200</v>
      </c>
      <c r="F14" s="42" t="n">
        <v>93800</v>
      </c>
      <c r="G14" s="43" t="n">
        <v>0.92</v>
      </c>
      <c r="H14" s="44" t="n">
        <v>34</v>
      </c>
      <c r="I14" s="43" t="n">
        <v>0.92</v>
      </c>
      <c r="J14" s="45" t="n">
        <f aca="false">$C$7*((C14/L14)*10)+$C$8*((1-L14/MAX($L$12:$L$21))*10)+$C$9*(I14*10)</f>
        <v>6.6252081980471</v>
      </c>
      <c r="K14" s="46" t="str">
        <f aca="false">IF(J14&gt;=7,"Faible",IF(J14&gt;=5,"Moyenne",IF(J14&gt;=3,"Haute","Critique")))</f>
        <v>Moyenne</v>
      </c>
      <c r="L14" s="47" t="n">
        <f aca="false">SUM(C14:F14)</f>
        <v>1648000</v>
      </c>
    </row>
    <row r="15" customFormat="false" ht="15" hidden="false" customHeight="true" outlineLevel="0" collapsed="false">
      <c r="B15" s="20" t="s">
        <v>54</v>
      </c>
      <c r="C15" s="48" t="n">
        <v>806400</v>
      </c>
      <c r="D15" s="48" t="n">
        <v>312500</v>
      </c>
      <c r="E15" s="48" t="n">
        <v>97800</v>
      </c>
      <c r="F15" s="48" t="n">
        <v>208300</v>
      </c>
      <c r="G15" s="49" t="n">
        <v>0.71</v>
      </c>
      <c r="H15" s="50" t="n">
        <v>59</v>
      </c>
      <c r="I15" s="49" t="n">
        <v>0.71</v>
      </c>
      <c r="J15" s="51" t="n">
        <f aca="false">$C$7*((C15/L15)*10)+$C$8*((1-L15/MAX($L$12:$L$21))*10)+$C$9*(I15*10)</f>
        <v>5.63937295639591</v>
      </c>
      <c r="K15" s="52" t="str">
        <f aca="false">IF(J15&gt;=7,"Faible",IF(J15&gt;=5,"Moyenne",IF(J15&gt;=3,"Haute","Critique")))</f>
        <v>Moyenne</v>
      </c>
      <c r="L15" s="53" t="n">
        <f aca="false">SUM(C15:F15)</f>
        <v>1425000</v>
      </c>
    </row>
    <row r="16" customFormat="false" ht="15" hidden="false" customHeight="true" outlineLevel="0" collapsed="false">
      <c r="B16" s="15" t="s">
        <v>55</v>
      </c>
      <c r="C16" s="42" t="n">
        <v>894200</v>
      </c>
      <c r="D16" s="42" t="n">
        <v>153800</v>
      </c>
      <c r="E16" s="42" t="n">
        <v>43600</v>
      </c>
      <c r="F16" s="42" t="n">
        <v>86400</v>
      </c>
      <c r="G16" s="43" t="n">
        <v>0.93</v>
      </c>
      <c r="H16" s="44" t="n">
        <v>32</v>
      </c>
      <c r="I16" s="43" t="n">
        <v>0.93</v>
      </c>
      <c r="J16" s="45" t="n">
        <f aca="false">$C$7*((C16/L16)*10)+$C$8*((1-L16/MAX($L$12:$L$21))*10)+$C$9*(I16*10)</f>
        <v>7.37618914819844</v>
      </c>
      <c r="K16" s="46" t="str">
        <f aca="false">IF(J16&gt;=7,"Faible",IF(J16&gt;=5,"Moyenne",IF(J16&gt;=3,"Haute","Critique")))</f>
        <v>Faible</v>
      </c>
      <c r="L16" s="47" t="n">
        <f aca="false">SUM(C16:F16)</f>
        <v>1178000</v>
      </c>
    </row>
    <row r="17" customFormat="false" ht="15" hidden="false" customHeight="true" outlineLevel="0" collapsed="false">
      <c r="B17" s="20" t="s">
        <v>56</v>
      </c>
      <c r="C17" s="48" t="n">
        <v>283600</v>
      </c>
      <c r="D17" s="48" t="n">
        <v>257400</v>
      </c>
      <c r="E17" s="48" t="n">
        <v>103200</v>
      </c>
      <c r="F17" s="48" t="n">
        <v>337800</v>
      </c>
      <c r="G17" s="49" t="n">
        <v>0.47</v>
      </c>
      <c r="H17" s="50" t="n">
        <v>108</v>
      </c>
      <c r="I17" s="49" t="n">
        <v>0.47</v>
      </c>
      <c r="J17" s="51" t="n">
        <f aca="false">$C$7*((C17/L17)*10)+$C$8*((1-L17/MAX($L$12:$L$21))*10)+$C$9*(I17*10)</f>
        <v>4.35633012610242</v>
      </c>
      <c r="K17" s="52" t="str">
        <f aca="false">IF(J17&gt;=7,"Faible",IF(J17&gt;=5,"Moyenne",IF(J17&gt;=3,"Haute","Critique")))</f>
        <v>Haute</v>
      </c>
      <c r="L17" s="53" t="n">
        <f aca="false">SUM(C17:F17)</f>
        <v>982000</v>
      </c>
    </row>
    <row r="18" customFormat="false" ht="15" hidden="false" customHeight="true" outlineLevel="0" collapsed="false">
      <c r="B18" s="15" t="s">
        <v>57</v>
      </c>
      <c r="C18" s="42" t="n">
        <v>617300</v>
      </c>
      <c r="D18" s="42" t="n">
        <v>138500</v>
      </c>
      <c r="E18" s="42" t="n">
        <v>52400</v>
      </c>
      <c r="F18" s="42" t="n">
        <v>61800</v>
      </c>
      <c r="G18" s="43" t="n">
        <v>0.89</v>
      </c>
      <c r="H18" s="44" t="n">
        <v>37</v>
      </c>
      <c r="I18" s="43" t="n">
        <v>0.89</v>
      </c>
      <c r="J18" s="45" t="n">
        <f aca="false">$C$7*((C18/L18)*10)+$C$8*((1-L18/MAX($L$12:$L$21))*10)+$C$9*(I18*10)</f>
        <v>7.43717199873596</v>
      </c>
      <c r="K18" s="46" t="str">
        <f aca="false">IF(J18&gt;=7,"Faible",IF(J18&gt;=5,"Moyenne",IF(J18&gt;=3,"Haute","Critique")))</f>
        <v>Faible</v>
      </c>
      <c r="L18" s="47" t="n">
        <f aca="false">SUM(C18:F18)</f>
        <v>870000</v>
      </c>
    </row>
    <row r="19" customFormat="false" ht="15" hidden="false" customHeight="true" outlineLevel="0" collapsed="false">
      <c r="B19" s="20" t="s">
        <v>58</v>
      </c>
      <c r="C19" s="48" t="n">
        <v>347200</v>
      </c>
      <c r="D19" s="48" t="n">
        <v>183600</v>
      </c>
      <c r="E19" s="48" t="n">
        <v>98400</v>
      </c>
      <c r="F19" s="48" t="n">
        <v>118800</v>
      </c>
      <c r="G19" s="49" t="n">
        <v>0.66</v>
      </c>
      <c r="H19" s="50" t="n">
        <v>64</v>
      </c>
      <c r="I19" s="49" t="n">
        <v>0.66</v>
      </c>
      <c r="J19" s="51" t="n">
        <f aca="false">$C$7*((C19/L19)*10)+$C$8*((1-L19/MAX($L$12:$L$21))*10)+$C$9*(I19*10)</f>
        <v>5.91588022443655</v>
      </c>
      <c r="K19" s="52" t="str">
        <f aca="false">IF(J19&gt;=7,"Faible",IF(J19&gt;=5,"Moyenne",IF(J19&gt;=3,"Haute","Critique")))</f>
        <v>Moyenne</v>
      </c>
      <c r="L19" s="53" t="n">
        <f aca="false">SUM(C19:F19)</f>
        <v>748000</v>
      </c>
    </row>
    <row r="20" customFormat="false" ht="15" hidden="false" customHeight="true" outlineLevel="0" collapsed="false">
      <c r="B20" s="15" t="s">
        <v>59</v>
      </c>
      <c r="C20" s="42" t="n">
        <v>498700</v>
      </c>
      <c r="D20" s="42" t="n">
        <v>121300</v>
      </c>
      <c r="E20" s="42" t="n">
        <v>16200</v>
      </c>
      <c r="F20" s="42" t="n">
        <v>43800</v>
      </c>
      <c r="G20" s="43" t="n">
        <v>0.95</v>
      </c>
      <c r="H20" s="44" t="n">
        <v>28</v>
      </c>
      <c r="I20" s="43" t="n">
        <v>0.95</v>
      </c>
      <c r="J20" s="45" t="n">
        <f aca="false">$C$7*((C20/L20)*10)+$C$8*((1-L20/MAX($L$12:$L$21))*10)+$C$9*(I20*10)</f>
        <v>7.94643462309011</v>
      </c>
      <c r="K20" s="46" t="str">
        <f aca="false">IF(J20&gt;=7,"Faible",IF(J20&gt;=5,"Moyenne",IF(J20&gt;=3,"Haute","Critique")))</f>
        <v>Faible</v>
      </c>
      <c r="L20" s="47" t="n">
        <f aca="false">SUM(C20:F20)</f>
        <v>680000</v>
      </c>
    </row>
    <row r="21" customFormat="false" ht="15" hidden="false" customHeight="true" outlineLevel="0" collapsed="false">
      <c r="B21" s="20" t="s">
        <v>60</v>
      </c>
      <c r="C21" s="48" t="n">
        <v>302400</v>
      </c>
      <c r="D21" s="48" t="n">
        <v>147800</v>
      </c>
      <c r="E21" s="48" t="n">
        <v>57600</v>
      </c>
      <c r="F21" s="48" t="n">
        <v>96200</v>
      </c>
      <c r="G21" s="49" t="n">
        <v>0.69</v>
      </c>
      <c r="H21" s="50" t="n">
        <v>57</v>
      </c>
      <c r="I21" s="49" t="n">
        <v>0.69</v>
      </c>
      <c r="J21" s="51" t="n">
        <f aca="false">$C$7*((C21/L21)*10)+$C$8*((1-L21/MAX($L$12:$L$21))*10)+$C$9*(I21*10)</f>
        <v>6.32911187079978</v>
      </c>
      <c r="K21" s="52" t="str">
        <f aca="false">IF(J21&gt;=7,"Faible",IF(J21&gt;=5,"Moyenne",IF(J21&gt;=3,"Haute","Critique")))</f>
        <v>Moyenne</v>
      </c>
      <c r="L21" s="53" t="n">
        <f aca="false">SUM(C21:F21)</f>
        <v>604000</v>
      </c>
    </row>
    <row r="22" customFormat="false" ht="15" hidden="false" customHeight="true" outlineLevel="0" collapsed="false">
      <c r="B22" s="54" t="s">
        <v>61</v>
      </c>
      <c r="C22" s="55" t="n">
        <f aca="false">SUM(C12:C21)</f>
        <v>7323400</v>
      </c>
      <c r="D22" s="55" t="n">
        <f aca="false">SUM(D12:D21)</f>
        <v>2545000</v>
      </c>
      <c r="E22" s="55" t="n">
        <f aca="false">SUM(E12:E21)</f>
        <v>921800</v>
      </c>
      <c r="F22" s="55" t="n">
        <f aca="false">SUM(F12:F21)</f>
        <v>1654800</v>
      </c>
      <c r="G22" s="56" t="n">
        <f aca="false">AVERAGE(G12:G21)</f>
        <v>0.769</v>
      </c>
      <c r="H22" s="57" t="n">
        <f aca="false">AVERAGE(H12:H21)</f>
        <v>53.8</v>
      </c>
      <c r="I22" s="58"/>
      <c r="J22" s="59" t="n">
        <f aca="false">AVERAGE(J12:J21)</f>
        <v>6.10061939271635</v>
      </c>
      <c r="K22" s="58"/>
      <c r="L22" s="55" t="n">
        <f aca="false">SUM(L12:L21)</f>
        <v>12445000</v>
      </c>
    </row>
    <row r="24" customFormat="false" ht="15" hidden="false" customHeight="false" outlineLevel="0" collapsed="false">
      <c r="B24" s="60" t="s">
        <v>62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</row>
    <row r="25" customFormat="false" ht="15" hidden="false" customHeight="false" outlineLevel="0" collapsed="false">
      <c r="B25" s="61" t="s">
        <v>63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</row>
  </sheetData>
  <mergeCells count="6">
    <mergeCell ref="B1:L1"/>
    <mergeCell ref="B2:L2"/>
    <mergeCell ref="B4:L4"/>
    <mergeCell ref="B6:C6"/>
    <mergeCell ref="B24:L24"/>
    <mergeCell ref="B25:L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520E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4" min="2" style="1" width="1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2"/>
  </cols>
  <sheetData>
    <row r="1" customFormat="false" ht="17.25" hidden="false" customHeight="true" outlineLevel="0" collapsed="false">
      <c r="A1" s="2"/>
      <c r="B1" s="32" t="s">
        <v>64</v>
      </c>
      <c r="C1" s="32"/>
      <c r="D1" s="32"/>
      <c r="E1" s="32"/>
      <c r="F1" s="32"/>
      <c r="G1" s="32"/>
      <c r="H1" s="32"/>
      <c r="I1" s="2"/>
    </row>
    <row r="2" customFormat="false" ht="15" hidden="false" customHeight="true" outlineLevel="0" collapsed="false">
      <c r="B2" s="33" t="s">
        <v>65</v>
      </c>
      <c r="C2" s="33"/>
      <c r="D2" s="33"/>
      <c r="E2" s="33"/>
      <c r="F2" s="33"/>
      <c r="G2" s="33"/>
      <c r="H2" s="33"/>
    </row>
    <row r="4" customFormat="false" ht="23.25" hidden="false" customHeight="true" outlineLevel="0" collapsed="false">
      <c r="B4" s="14" t="s">
        <v>66</v>
      </c>
      <c r="C4" s="14" t="s">
        <v>67</v>
      </c>
      <c r="D4" s="14" t="s">
        <v>68</v>
      </c>
      <c r="E4" s="14" t="s">
        <v>69</v>
      </c>
      <c r="F4" s="14" t="s">
        <v>70</v>
      </c>
      <c r="G4" s="14" t="s">
        <v>71</v>
      </c>
      <c r="H4" s="14" t="s">
        <v>72</v>
      </c>
    </row>
    <row r="5" customFormat="false" ht="15" hidden="false" customHeight="true" outlineLevel="0" collapsed="false">
      <c r="B5" s="46" t="s">
        <v>73</v>
      </c>
      <c r="C5" s="42" t="n">
        <v>2800000</v>
      </c>
      <c r="D5" s="42" t="n">
        <v>3000000</v>
      </c>
      <c r="E5" s="62" t="n">
        <f aca="false">C5-D5</f>
        <v>-200000</v>
      </c>
      <c r="F5" s="63" t="n">
        <f aca="false">C5/D5</f>
        <v>0.933333333333333</v>
      </c>
      <c r="G5" s="16" t="n">
        <f aca="false">C5</f>
        <v>2800000</v>
      </c>
      <c r="H5" s="63" t="n">
        <f aca="false">C5/Segmentation!L22</f>
        <v>0.224989955805544</v>
      </c>
    </row>
    <row r="6" customFormat="false" ht="15" hidden="false" customHeight="true" outlineLevel="0" collapsed="false">
      <c r="B6" s="52" t="s">
        <v>74</v>
      </c>
      <c r="C6" s="48" t="n">
        <v>3100000</v>
      </c>
      <c r="D6" s="48" t="n">
        <v>3000000</v>
      </c>
      <c r="E6" s="64" t="n">
        <f aca="false">C6-D6</f>
        <v>100000</v>
      </c>
      <c r="F6" s="65" t="n">
        <f aca="false">C6/D6</f>
        <v>1.03333333333333</v>
      </c>
      <c r="G6" s="21" t="n">
        <f aca="false">G5+C6</f>
        <v>5900000</v>
      </c>
      <c r="H6" s="65" t="n">
        <f aca="false">C6/Segmentation!L22</f>
        <v>0.249096022498996</v>
      </c>
    </row>
    <row r="7" customFormat="false" ht="15" hidden="false" customHeight="true" outlineLevel="0" collapsed="false">
      <c r="B7" s="46" t="s">
        <v>75</v>
      </c>
      <c r="C7" s="42" t="n">
        <v>2950000</v>
      </c>
      <c r="D7" s="42" t="n">
        <v>3000000</v>
      </c>
      <c r="E7" s="62" t="n">
        <f aca="false">C7-D7</f>
        <v>-50000</v>
      </c>
      <c r="F7" s="63" t="n">
        <f aca="false">C7/D7</f>
        <v>0.983333333333333</v>
      </c>
      <c r="G7" s="16" t="n">
        <f aca="false">G6+C7</f>
        <v>8850000</v>
      </c>
      <c r="H7" s="63" t="n">
        <f aca="false">C7/Segmentation!L22</f>
        <v>0.23704298915227</v>
      </c>
    </row>
    <row r="8" customFormat="false" ht="15" hidden="false" customHeight="true" outlineLevel="0" collapsed="false">
      <c r="B8" s="52" t="s">
        <v>76</v>
      </c>
      <c r="C8" s="48" t="n">
        <v>3200000</v>
      </c>
      <c r="D8" s="48" t="n">
        <v>3100000</v>
      </c>
      <c r="E8" s="64" t="n">
        <f aca="false">C8-D8</f>
        <v>100000</v>
      </c>
      <c r="F8" s="65" t="n">
        <f aca="false">C8/D8</f>
        <v>1.03225806451613</v>
      </c>
      <c r="G8" s="21" t="n">
        <f aca="false">G7+C8</f>
        <v>12050000</v>
      </c>
      <c r="H8" s="65" t="n">
        <f aca="false">C8/Segmentation!L22</f>
        <v>0.257131378063479</v>
      </c>
    </row>
    <row r="9" customFormat="false" ht="15" hidden="false" customHeight="true" outlineLevel="0" collapsed="false">
      <c r="B9" s="46" t="s">
        <v>77</v>
      </c>
      <c r="C9" s="42" t="n">
        <v>2700000</v>
      </c>
      <c r="D9" s="42" t="n">
        <v>3100000</v>
      </c>
      <c r="E9" s="62" t="n">
        <f aca="false">C9-D9</f>
        <v>-400000</v>
      </c>
      <c r="F9" s="63" t="n">
        <f aca="false">C9/D9</f>
        <v>0.870967741935484</v>
      </c>
      <c r="G9" s="16" t="n">
        <f aca="false">G8+C9</f>
        <v>14750000</v>
      </c>
      <c r="H9" s="63" t="n">
        <f aca="false">C9/Segmentation!L22</f>
        <v>0.216954600241061</v>
      </c>
    </row>
    <row r="10" customFormat="false" ht="15" hidden="false" customHeight="true" outlineLevel="0" collapsed="false">
      <c r="B10" s="52" t="s">
        <v>78</v>
      </c>
      <c r="C10" s="48" t="n">
        <v>3400000</v>
      </c>
      <c r="D10" s="48" t="n">
        <v>3100000</v>
      </c>
      <c r="E10" s="64" t="n">
        <f aca="false">C10-D10</f>
        <v>300000</v>
      </c>
      <c r="F10" s="65" t="n">
        <f aca="false">C10/D10</f>
        <v>1.09677419354839</v>
      </c>
      <c r="G10" s="21" t="n">
        <f aca="false">G9+C10</f>
        <v>18150000</v>
      </c>
      <c r="H10" s="65" t="n">
        <f aca="false">C10/Segmentation!L22</f>
        <v>0.273202089192447</v>
      </c>
    </row>
    <row r="11" customFormat="false" ht="15" hidden="false" customHeight="true" outlineLevel="0" collapsed="false">
      <c r="B11" s="46" t="s">
        <v>79</v>
      </c>
      <c r="C11" s="42" t="n">
        <v>3050000</v>
      </c>
      <c r="D11" s="42" t="n">
        <v>3200000</v>
      </c>
      <c r="E11" s="62" t="n">
        <f aca="false">C11-D11</f>
        <v>-150000</v>
      </c>
      <c r="F11" s="63" t="n">
        <f aca="false">C11/D11</f>
        <v>0.953125</v>
      </c>
      <c r="G11" s="16" t="n">
        <f aca="false">G10+C11</f>
        <v>21200000</v>
      </c>
      <c r="H11" s="63" t="n">
        <f aca="false">C11/Segmentation!L22</f>
        <v>0.245078344716754</v>
      </c>
    </row>
    <row r="12" customFormat="false" ht="15" hidden="false" customHeight="true" outlineLevel="0" collapsed="false">
      <c r="B12" s="52" t="s">
        <v>80</v>
      </c>
      <c r="C12" s="48" t="n">
        <v>2900000</v>
      </c>
      <c r="D12" s="48" t="n">
        <v>3200000</v>
      </c>
      <c r="E12" s="64" t="n">
        <f aca="false">C12-D12</f>
        <v>-300000</v>
      </c>
      <c r="F12" s="65" t="n">
        <f aca="false">C12/D12</f>
        <v>0.90625</v>
      </c>
      <c r="G12" s="21" t="n">
        <f aca="false">G11+C12</f>
        <v>24100000</v>
      </c>
      <c r="H12" s="65" t="n">
        <f aca="false">C12/Segmentation!L22</f>
        <v>0.233025311370028</v>
      </c>
    </row>
    <row r="13" customFormat="false" ht="15" hidden="false" customHeight="true" outlineLevel="0" collapsed="false">
      <c r="B13" s="46" t="s">
        <v>81</v>
      </c>
      <c r="C13" s="42" t="n">
        <v>3350000</v>
      </c>
      <c r="D13" s="42" t="n">
        <v>3200000</v>
      </c>
      <c r="E13" s="62" t="n">
        <f aca="false">C13-D13</f>
        <v>150000</v>
      </c>
      <c r="F13" s="63" t="n">
        <f aca="false">C13/D13</f>
        <v>1.046875</v>
      </c>
      <c r="G13" s="16" t="n">
        <f aca="false">G12+C13</f>
        <v>27450000</v>
      </c>
      <c r="H13" s="63" t="n">
        <f aca="false">C13/Segmentation!L22</f>
        <v>0.269184411410205</v>
      </c>
    </row>
    <row r="14" customFormat="false" ht="15" hidden="false" customHeight="true" outlineLevel="0" collapsed="false">
      <c r="B14" s="52" t="s">
        <v>82</v>
      </c>
      <c r="C14" s="48" t="n">
        <v>3150000</v>
      </c>
      <c r="D14" s="48" t="n">
        <v>3300000</v>
      </c>
      <c r="E14" s="64" t="n">
        <f aca="false">C14-D14</f>
        <v>-150000</v>
      </c>
      <c r="F14" s="65" t="n">
        <f aca="false">C14/D14</f>
        <v>0.954545454545455</v>
      </c>
      <c r="G14" s="21" t="n">
        <f aca="false">G13+C14</f>
        <v>30600000</v>
      </c>
      <c r="H14" s="65" t="n">
        <f aca="false">C14/Segmentation!L22</f>
        <v>0.253113700281237</v>
      </c>
    </row>
    <row r="15" customFormat="false" ht="15" hidden="false" customHeight="true" outlineLevel="0" collapsed="false">
      <c r="B15" s="46" t="s">
        <v>83</v>
      </c>
      <c r="C15" s="42" t="n">
        <v>3500000</v>
      </c>
      <c r="D15" s="42" t="n">
        <v>3300000</v>
      </c>
      <c r="E15" s="62" t="n">
        <f aca="false">C15-D15</f>
        <v>200000</v>
      </c>
      <c r="F15" s="63" t="n">
        <f aca="false">C15/D15</f>
        <v>1.06060606060606</v>
      </c>
      <c r="G15" s="16" t="n">
        <f aca="false">G14+C15</f>
        <v>34100000</v>
      </c>
      <c r="H15" s="63" t="n">
        <f aca="false">C15/Segmentation!L22</f>
        <v>0.281237444756931</v>
      </c>
    </row>
    <row r="16" customFormat="false" ht="15" hidden="false" customHeight="true" outlineLevel="0" collapsed="false">
      <c r="B16" s="29" t="s">
        <v>25</v>
      </c>
      <c r="C16" s="28" t="n">
        <f aca="false">SUM(C5:C15)</f>
        <v>34100000</v>
      </c>
      <c r="D16" s="28" t="n">
        <f aca="false">SUM(D5:D15)</f>
        <v>34500000</v>
      </c>
      <c r="E16" s="66"/>
      <c r="F16" s="56" t="n">
        <f aca="false">C16/D16</f>
        <v>0.988405797101449</v>
      </c>
      <c r="G16" s="66"/>
      <c r="H16" s="66"/>
    </row>
    <row r="34" customFormat="false" ht="15" hidden="false" customHeight="false" outlineLevel="0" collapsed="false">
      <c r="B34" s="31" t="s">
        <v>84</v>
      </c>
      <c r="C34" s="31"/>
      <c r="D34" s="31"/>
      <c r="E34" s="31"/>
      <c r="F34" s="31"/>
      <c r="G34" s="31"/>
      <c r="H34" s="31"/>
    </row>
  </sheetData>
  <mergeCells count="3">
    <mergeCell ref="B1:H1"/>
    <mergeCell ref="B2:H2"/>
    <mergeCell ref="B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80"/>
  </cols>
  <sheetData>
    <row r="1" customFormat="false" ht="15" hidden="false" customHeight="false" outlineLevel="0" collapsed="false">
      <c r="A1" s="67"/>
      <c r="B1" s="67"/>
      <c r="C1" s="67"/>
      <c r="D1" s="67"/>
      <c r="E1" s="67"/>
    </row>
    <row r="2" customFormat="false" ht="17.25" hidden="false" customHeight="true" outlineLevel="0" collapsed="false">
      <c r="A2" s="67"/>
      <c r="B2" s="68" t="s">
        <v>85</v>
      </c>
      <c r="C2" s="67"/>
      <c r="D2" s="67"/>
      <c r="E2" s="67"/>
    </row>
    <row r="3" customFormat="false" ht="15" hidden="false" customHeight="true" outlineLevel="0" collapsed="false">
      <c r="A3" s="67"/>
      <c r="B3" s="69"/>
      <c r="C3" s="67"/>
      <c r="D3" s="67"/>
      <c r="E3" s="67"/>
    </row>
    <row r="4" customFormat="false" ht="15" hidden="false" customHeight="true" outlineLevel="0" collapsed="false">
      <c r="A4" s="67"/>
      <c r="B4" s="40" t="s">
        <v>86</v>
      </c>
      <c r="C4" s="67"/>
      <c r="D4" s="67"/>
      <c r="E4" s="67"/>
    </row>
    <row r="5" customFormat="false" ht="15" hidden="false" customHeight="true" outlineLevel="0" collapsed="false">
      <c r="A5" s="67"/>
      <c r="B5" s="40" t="s">
        <v>87</v>
      </c>
      <c r="C5" s="67"/>
      <c r="D5" s="67"/>
      <c r="E5" s="67"/>
    </row>
    <row r="6" customFormat="false" ht="15" hidden="false" customHeight="false" outlineLevel="0" collapsed="false">
      <c r="A6" s="67"/>
      <c r="B6" s="70" t="s">
        <v>88</v>
      </c>
      <c r="C6" s="67"/>
      <c r="D6" s="67"/>
      <c r="E6" s="67"/>
    </row>
    <row r="7" customFormat="false" ht="17.25" hidden="false" customHeight="true" outlineLevel="0" collapsed="false">
      <c r="A7" s="67"/>
      <c r="B7" s="40" t="s">
        <v>89</v>
      </c>
      <c r="C7" s="67"/>
      <c r="D7" s="67"/>
      <c r="E7" s="67"/>
    </row>
    <row r="8" customFormat="false" ht="15" hidden="false" customHeight="false" outlineLevel="0" collapsed="false">
      <c r="A8" s="67"/>
      <c r="B8" s="67"/>
      <c r="C8" s="67"/>
      <c r="D8" s="67"/>
      <c r="E8" s="67"/>
    </row>
    <row r="9" customFormat="false" ht="15" hidden="false" customHeight="true" outlineLevel="0" collapsed="false">
      <c r="A9" s="67"/>
      <c r="B9" s="71" t="s">
        <v>90</v>
      </c>
      <c r="C9" s="67"/>
      <c r="D9" s="67"/>
      <c r="E9" s="67"/>
    </row>
    <row r="10" customFormat="false" ht="15" hidden="false" customHeight="true" outlineLevel="0" collapsed="false">
      <c r="A10" s="67"/>
      <c r="B10" s="40" t="s">
        <v>91</v>
      </c>
      <c r="C10" s="67"/>
      <c r="D10" s="67"/>
      <c r="E10" s="67"/>
    </row>
    <row r="11" customFormat="false" ht="15" hidden="false" customHeight="true" outlineLevel="0" collapsed="false">
      <c r="A11" s="67"/>
      <c r="B11" s="40" t="s">
        <v>92</v>
      </c>
      <c r="C11" s="67"/>
      <c r="D11" s="67"/>
      <c r="E11" s="67"/>
    </row>
    <row r="12" customFormat="false" ht="15" hidden="false" customHeight="true" outlineLevel="0" collapsed="false">
      <c r="A12" s="67"/>
      <c r="B12" s="40" t="s">
        <v>93</v>
      </c>
      <c r="C12" s="67"/>
      <c r="D12" s="67"/>
      <c r="E12" s="67"/>
    </row>
    <row r="13" customFormat="false" ht="15" hidden="false" customHeight="true" outlineLevel="0" collapsed="false">
      <c r="A13" s="67"/>
      <c r="B13" s="69"/>
      <c r="C13" s="67"/>
      <c r="D13" s="67"/>
      <c r="E13" s="67"/>
    </row>
    <row r="14" customFormat="false" ht="15" hidden="false" customHeight="true" outlineLevel="0" collapsed="false">
      <c r="A14" s="67"/>
      <c r="B14" s="69"/>
      <c r="C14" s="67"/>
      <c r="D14" s="67"/>
      <c r="E14" s="67"/>
    </row>
    <row r="15" customFormat="false" ht="15" hidden="false" customHeight="true" outlineLevel="0" collapsed="false">
      <c r="A15" s="67"/>
      <c r="B15" s="69"/>
      <c r="C15" s="67"/>
      <c r="D15" s="67"/>
      <c r="E15" s="67"/>
    </row>
    <row r="16" customFormat="false" ht="15" hidden="false" customHeight="true" outlineLevel="0" collapsed="false">
      <c r="A16" s="67"/>
      <c r="B16" s="69"/>
      <c r="C16" s="67"/>
      <c r="D16" s="67"/>
      <c r="E16" s="67"/>
    </row>
    <row r="17" customFormat="false" ht="15" hidden="false" customHeight="true" outlineLevel="0" collapsed="false">
      <c r="A17" s="67"/>
      <c r="B17" s="69"/>
      <c r="C17" s="67"/>
      <c r="D17" s="67"/>
      <c r="E17" s="67"/>
    </row>
    <row r="18" customFormat="false" ht="15" hidden="false" customHeight="true" outlineLevel="0" collapsed="false">
      <c r="A18" s="67"/>
      <c r="B18" s="69"/>
      <c r="C18" s="67"/>
      <c r="D18" s="67"/>
      <c r="E18" s="67"/>
    </row>
    <row r="19" customFormat="false" ht="15" hidden="false" customHeight="true" outlineLevel="0" collapsed="false">
      <c r="A19" s="67"/>
      <c r="B19" s="69"/>
      <c r="C19" s="67"/>
      <c r="D19" s="67"/>
      <c r="E19" s="67"/>
    </row>
    <row r="20" customFormat="false" ht="15" hidden="false" customHeight="true" outlineLevel="0" collapsed="false">
      <c r="A20" s="67"/>
      <c r="B20" s="69"/>
      <c r="C20" s="67"/>
      <c r="D20" s="67"/>
      <c r="E20" s="67"/>
    </row>
    <row r="21" customFormat="false" ht="15" hidden="false" customHeight="true" outlineLevel="0" collapsed="false">
      <c r="A21" s="67"/>
      <c r="B21" s="69"/>
      <c r="C21" s="67"/>
      <c r="D21" s="67"/>
      <c r="E21" s="67"/>
    </row>
    <row r="22" customFormat="false" ht="15" hidden="false" customHeight="true" outlineLevel="0" collapsed="false">
      <c r="A22" s="67"/>
      <c r="B22" s="69"/>
      <c r="C22" s="67"/>
      <c r="D22" s="67"/>
      <c r="E22" s="67"/>
    </row>
    <row r="23" customFormat="false" ht="15" hidden="false" customHeight="true" outlineLevel="0" collapsed="false">
      <c r="A23" s="67"/>
      <c r="B23" s="69"/>
      <c r="C23" s="67"/>
      <c r="D23" s="67"/>
      <c r="E23" s="67"/>
    </row>
    <row r="24" customFormat="false" ht="15" hidden="false" customHeight="true" outlineLevel="0" collapsed="false">
      <c r="A24" s="67"/>
      <c r="B24" s="69"/>
      <c r="C24" s="67"/>
      <c r="D24" s="67"/>
      <c r="E24" s="67"/>
    </row>
    <row r="25" customFormat="false" ht="15" hidden="false" customHeight="true" outlineLevel="0" collapsed="false">
      <c r="A25" s="67"/>
      <c r="B25" s="69"/>
      <c r="C25" s="67"/>
      <c r="D25" s="67"/>
      <c r="E25" s="67"/>
    </row>
    <row r="26" customFormat="false" ht="15" hidden="false" customHeight="true" outlineLevel="0" collapsed="false">
      <c r="A26" s="67"/>
      <c r="B26" s="69"/>
      <c r="C26" s="67"/>
      <c r="D26" s="67"/>
      <c r="E26" s="67"/>
    </row>
    <row r="27" customFormat="false" ht="15" hidden="false" customHeight="true" outlineLevel="0" collapsed="false">
      <c r="A27" s="67"/>
      <c r="B27" s="69"/>
      <c r="C27" s="67"/>
      <c r="D27" s="67"/>
      <c r="E27" s="67"/>
    </row>
    <row r="28" customFormat="false" ht="15" hidden="false" customHeight="true" outlineLevel="0" collapsed="false">
      <c r="A28" s="67"/>
      <c r="B28" s="69"/>
      <c r="C28" s="67"/>
      <c r="D28" s="67"/>
      <c r="E28" s="67"/>
    </row>
    <row r="29" customFormat="false" ht="15" hidden="false" customHeight="false" outlineLevel="0" collapsed="false">
      <c r="A29" s="67"/>
      <c r="B29" s="67"/>
      <c r="C29" s="67"/>
      <c r="D29" s="67"/>
      <c r="E29" s="67"/>
    </row>
    <row r="30" customFormat="false" ht="15" hidden="false" customHeight="false" outlineLevel="0" collapsed="false">
      <c r="A30" s="67"/>
      <c r="B30" s="67"/>
      <c r="C30" s="67"/>
      <c r="D30" s="67"/>
      <c r="E30" s="67"/>
    </row>
    <row r="31" customFormat="false" ht="15" hidden="false" customHeight="false" outlineLevel="0" collapsed="false">
      <c r="A31" s="67"/>
      <c r="B31" s="67"/>
      <c r="C31" s="67"/>
      <c r="D31" s="67"/>
      <c r="E31" s="67"/>
    </row>
    <row r="32" customFormat="false" ht="15" hidden="false" customHeight="false" outlineLevel="0" collapsed="false">
      <c r="A32" s="67"/>
      <c r="B32" s="67"/>
      <c r="C32" s="67"/>
      <c r="D32" s="67"/>
      <c r="E32" s="67"/>
    </row>
    <row r="33" customFormat="false" ht="15" hidden="false" customHeight="false" outlineLevel="0" collapsed="false">
      <c r="A33" s="67"/>
      <c r="B33" s="67"/>
      <c r="C33" s="67"/>
      <c r="D33" s="67"/>
      <c r="E33" s="67"/>
    </row>
    <row r="34" customFormat="false" ht="15" hidden="false" customHeight="false" outlineLevel="0" collapsed="false">
      <c r="A34" s="67"/>
      <c r="B34" s="67"/>
      <c r="C34" s="67"/>
      <c r="D34" s="67"/>
      <c r="E34" s="67"/>
    </row>
    <row r="35" customFormat="false" ht="15" hidden="false" customHeight="false" outlineLevel="0" collapsed="false">
      <c r="A35" s="67"/>
      <c r="B35" s="67"/>
      <c r="C35" s="67"/>
      <c r="D35" s="67"/>
      <c r="E35" s="67"/>
    </row>
    <row r="36" customFormat="false" ht="15" hidden="false" customHeight="false" outlineLevel="0" collapsed="false">
      <c r="A36" s="67"/>
      <c r="B36" s="67"/>
      <c r="C36" s="67"/>
      <c r="D36" s="67"/>
      <c r="E36" s="67"/>
    </row>
    <row r="37" customFormat="false" ht="15" hidden="false" customHeight="false" outlineLevel="0" collapsed="false">
      <c r="A37" s="67"/>
      <c r="B37" s="67"/>
      <c r="C37" s="67"/>
      <c r="D37" s="67"/>
      <c r="E37" s="67"/>
    </row>
    <row r="38" customFormat="false" ht="15" hidden="false" customHeight="false" outlineLevel="0" collapsed="false">
      <c r="A38" s="67"/>
      <c r="B38" s="67"/>
      <c r="C38" s="67"/>
      <c r="D38" s="67"/>
      <c r="E38" s="67"/>
    </row>
    <row r="39" customFormat="false" ht="15" hidden="false" customHeight="false" outlineLevel="0" collapsed="false">
      <c r="A39" s="67"/>
      <c r="B39" s="67"/>
      <c r="C39" s="67"/>
      <c r="D39" s="67"/>
      <c r="E39" s="67"/>
    </row>
    <row r="40" customFormat="false" ht="15" hidden="false" customHeight="false" outlineLevel="0" collapsed="false">
      <c r="A40" s="67"/>
      <c r="B40" s="67"/>
      <c r="C40" s="67"/>
      <c r="D40" s="67"/>
      <c r="E40" s="6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2026-03-07T21:32:25Z</dcterms:created>
  <dc:creator>openpyxl</dc:creator>
  <dc:description/>
  <dc:language>en-US</dc:language>
  <cp:lastModifiedBy/>
  <dcterms:modified xsi:type="dcterms:W3CDTF">2026-03-07T22:55:31Z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